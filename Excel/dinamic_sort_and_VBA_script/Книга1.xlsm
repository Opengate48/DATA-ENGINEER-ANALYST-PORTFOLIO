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ЭтаКнига" defaultThemeVersion="202300"/>
  <mc:AlternateContent xmlns:mc="http://schemas.openxmlformats.org/markup-compatibility/2006">
    <mc:Choice Requires="x15">
      <x15ac:absPath xmlns:x15ac="http://schemas.microsoft.com/office/spreadsheetml/2010/11/ac" url="D:\УрФУ ИЕНиМ(3 курс 6 семестр)\Бд\9я лабораторная\"/>
    </mc:Choice>
  </mc:AlternateContent>
  <xr:revisionPtr revIDLastSave="0" documentId="13_ncr:1_{9B73F9C3-554F-47EB-A302-FAA54363ED75}" xr6:coauthVersionLast="47" xr6:coauthVersionMax="47" xr10:uidLastSave="{00000000-0000-0000-0000-000000000000}"/>
  <bookViews>
    <workbookView xWindow="-110" yWindow="-110" windowWidth="19420" windowHeight="10420" activeTab="2" xr2:uid="{5972CFCF-181F-45E3-ACDE-0EDE694D0F59}"/>
  </bookViews>
  <sheets>
    <sheet name="Лист1" sheetId="1" r:id="rId1"/>
    <sheet name="Лист2" sheetId="2" r:id="rId2"/>
    <sheet name="Лист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3" l="1"/>
  <c r="C9" i="2"/>
  <c r="C16" i="2"/>
  <c r="C13" i="2"/>
  <c r="C10" i="2"/>
  <c r="C7" i="2"/>
  <c r="C6" i="2"/>
  <c r="C12" i="2"/>
  <c r="C8" i="2"/>
  <c r="C14" i="2"/>
  <c r="C2" i="2"/>
  <c r="C4" i="2"/>
  <c r="C3" i="2"/>
  <c r="C5" i="2"/>
  <c r="C15" i="2"/>
  <c r="C11" i="2"/>
  <c r="G3" i="1" a="1"/>
  <c r="G3" i="1"/>
  <c r="G4" i="1" a="1"/>
  <c r="G4" i="1" s="1"/>
  <c r="G5" i="1" a="1"/>
  <c r="G5" i="1" s="1"/>
  <c r="G6" i="1" a="1"/>
  <c r="G6" i="1"/>
  <c r="G7" i="1" a="1"/>
  <c r="G7" i="1" s="1"/>
  <c r="G8" i="1" a="1"/>
  <c r="G8" i="1" s="1"/>
  <c r="G9" i="1" a="1"/>
  <c r="G9" i="1"/>
  <c r="G10" i="1" a="1"/>
  <c r="G10" i="1" s="1"/>
  <c r="G11" i="1" a="1"/>
  <c r="G11" i="1" s="1"/>
  <c r="G12" i="1" a="1"/>
  <c r="G12" i="1" s="1"/>
  <c r="G2" i="1" a="1"/>
  <c r="G2" i="1" s="1"/>
  <c r="F3" i="1"/>
  <c r="F4" i="1"/>
  <c r="F5" i="1"/>
  <c r="F6" i="1"/>
  <c r="F7" i="1"/>
  <c r="F8" i="1"/>
  <c r="F9" i="1"/>
  <c r="F10" i="1"/>
  <c r="F11" i="1"/>
  <c r="F12" i="1"/>
  <c r="F2" i="1"/>
  <c r="C2" i="1"/>
  <c r="C3" i="1"/>
  <c r="C4" i="1"/>
  <c r="C5" i="1"/>
  <c r="C6" i="1"/>
  <c r="C7" i="1"/>
  <c r="C8" i="1"/>
  <c r="C9" i="1"/>
  <c r="C10" i="1"/>
  <c r="C11" i="1"/>
  <c r="C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<sst xmlns="http://schemas.openxmlformats.org/spreadsheetml/2006/main" count="35" uniqueCount="33">
  <si>
    <t>Фамилия</t>
  </si>
  <si>
    <t>Балл</t>
  </si>
  <si>
    <t>Копылова Мария</t>
  </si>
  <si>
    <t>Булатова Василиса</t>
  </si>
  <si>
    <t>Кузнецова Василиса</t>
  </si>
  <si>
    <t>Сергеев Матвей</t>
  </si>
  <si>
    <t>Акимов Тимофей</t>
  </si>
  <si>
    <t>Сахарова София</t>
  </si>
  <si>
    <t>Романов Лев</t>
  </si>
  <si>
    <t>Борисова Майя</t>
  </si>
  <si>
    <t>Соболева Эмилия</t>
  </si>
  <si>
    <t>Яковлев Егор</t>
  </si>
  <si>
    <t>Лагунов Макар</t>
  </si>
  <si>
    <t>Индекс</t>
  </si>
  <si>
    <t>Сотрудник</t>
  </si>
  <si>
    <t>Дата рождения</t>
  </si>
  <si>
    <t>Василий</t>
  </si>
  <si>
    <t>Елена</t>
  </si>
  <si>
    <t>Коля</t>
  </si>
  <si>
    <t>Ирина</t>
  </si>
  <si>
    <t>Мария</t>
  </si>
  <si>
    <t>Епифан</t>
  </si>
  <si>
    <t>Онуфрий</t>
  </si>
  <si>
    <t>Пелагея</t>
  </si>
  <si>
    <t>Иван</t>
  </si>
  <si>
    <t>Николай</t>
  </si>
  <si>
    <t>Сергей</t>
  </si>
  <si>
    <t>Ольга</t>
  </si>
  <si>
    <t>Митрофан</t>
  </si>
  <si>
    <t>Диана</t>
  </si>
  <si>
    <t>Марфа</t>
  </si>
  <si>
    <t>ДР</t>
  </si>
  <si>
    <t>Лагунов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</si>
</sst>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  <font>
      <b/>
      <sz val="13"/>
      <color rgb="FF44546A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47120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rgb="FFACCCEA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/>
    <xf numFmtId="0" fontId="3" fillId="0" borderId="1" xfId="0" applyFont="1" applyBorder="1" applyAlignment="1">
      <alignment vertical="center"/>
    </xf>
    <xf numFmtId="14" fontId="2" fillId="0" borderId="0" xfId="0" applyNumberFormat="1" applyFont="1" applyAlignment="1">
      <alignment horizontal="right" vertical="center"/>
    </xf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Обычный" xfId="0" builtinId="0"/>
  </cellStyles>
  <dxfs count="6">
    <dxf>
      <border>
        <left style="dashed">
          <color auto="1"/>
        </left>
        <right style="dashed">
          <color auto="1"/>
        </right>
        <top style="dashed">
          <color auto="1"/>
        </top>
        <bottom style="thin">
          <color auto="1"/>
        </bottom>
        <vertical/>
        <horizontal/>
      </border>
    </dxf>
    <dxf>
      <border>
        <left/>
        <right/>
        <top/>
        <bottom style="thin">
          <color auto="1"/>
        </bottom>
        <vertical/>
        <horizontal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101C73-BF22-463F-BF37-F04A7227D36F}" name="Таблица1" displayName="Таблица1" ref="A1:C12" totalsRowShown="0" headerRowDxfId="3">
  <autoFilter ref="A1:C12" xr:uid="{7B101C73-BF22-463F-BF37-F04A7227D36F}"/>
  <tableColumns count="3">
    <tableColumn id="1" xr3:uid="{8AA1A045-1DF8-440A-930E-4BC7495741CC}" name="Фамилия" dataDxfId="5"/>
    <tableColumn id="2" xr3:uid="{219DD195-2F1B-4798-8191-12B9E00BBFD9}" name="Балл" dataDxfId="4"/>
    <tableColumn id="3" xr3:uid="{2B55FACF-7FD8-41EE-B742-054B1D7A3B9A}" name="Индекс" dataDxfId="2">
      <calculatedColumnFormula>COUNTIF(B:B,"&lt;"&amp;B2)+COUNTIF($B$2:B2,"="&amp;B2)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34672-68D5-4988-A80F-ED92FAA5C557}">
  <sheetPr codeName="Лист1"/>
  <dimension ref="A1:G12"/>
  <sheetViews>
    <sheetView workbookViewId="0">
      <selection activeCell="I5" sqref="I5"/>
    </sheetView>
  </sheetViews>
  <sheetFormatPr defaultRowHeight="14.5" x14ac:dyDescent="0.35"/>
  <cols>
    <col min="1" max="1" width="20" customWidth="1"/>
    <col min="7" max="7" width="21.08984375" customWidth="1"/>
  </cols>
  <sheetData>
    <row r="1" spans="1:7" x14ac:dyDescent="0.35">
      <c r="A1" s="1" t="s">
        <v>0</v>
      </c>
      <c r="B1" s="1" t="s">
        <v>1</v>
      </c>
      <c r="C1" s="1" t="s">
        <v>13</v>
      </c>
      <c r="F1" t="s">
        <v>13</v>
      </c>
      <c r="G1" t="s">
        <v>0</v>
      </c>
    </row>
    <row r="2" spans="1:7" x14ac:dyDescent="0.35">
      <c r="A2" s="2" t="s">
        <v>2</v>
      </c>
      <c r="B2" s="3">
        <v>8</v>
      </c>
      <c r="C2">
        <f>COUNTIF(B:B,"&lt;"&amp;B2)+COUNTIF($B$2:B2,"="&amp;B2)</f>
        <v>9</v>
      </c>
      <c r="F2" s="4">
        <f>LARGE(C:C,ROW()-1)</f>
        <v>11</v>
      </c>
      <c r="G2" t="str" cm="1">
        <f t="array" ref="G2">INDEX(Таблица1[[#All],[Фамилия]:[Балл]],MATCH(F2,Таблица1[Индекс],0)+1,1)</f>
        <v>Борисова Майя</v>
      </c>
    </row>
    <row r="3" spans="1:7" x14ac:dyDescent="0.35">
      <c r="A3" s="2" t="s">
        <v>3</v>
      </c>
      <c r="B3" s="3">
        <v>4</v>
      </c>
      <c r="C3">
        <f>COUNTIF(B:B,"&lt;"&amp;B3)+COUNTIF($B$2:B3,"="&amp;B3)</f>
        <v>4</v>
      </c>
      <c r="F3" s="4">
        <f t="shared" ref="F3:F12" si="0">LARGE(C:C,ROW()-1)</f>
        <v>10</v>
      </c>
      <c r="G3" t="str" cm="1">
        <f t="array" ref="G3">INDEX(Таблица1[[#All],[Фамилия]:[Балл]],MATCH(F3,Таблица1[Индекс],0)+1,1)</f>
        <v>Акимов Тимофей</v>
      </c>
    </row>
    <row r="4" spans="1:7" x14ac:dyDescent="0.35">
      <c r="A4" s="2" t="s">
        <v>4</v>
      </c>
      <c r="B4" s="3">
        <v>6</v>
      </c>
      <c r="C4">
        <f>COUNTIF(B:B,"&lt;"&amp;B4)+COUNTIF($B$2:B4,"="&amp;B4)</f>
        <v>8</v>
      </c>
      <c r="F4" s="4">
        <f t="shared" si="0"/>
        <v>9</v>
      </c>
      <c r="G4" t="str" cm="1">
        <f t="array" ref="G4">INDEX(Таблица1[[#All],[Фамилия]:[Балл]],MATCH(F4,Таблица1[Индекс],0)+1,1)</f>
        <v>Копылова Мария</v>
      </c>
    </row>
    <row r="5" spans="1:7" x14ac:dyDescent="0.35">
      <c r="A5" s="2" t="s">
        <v>5</v>
      </c>
      <c r="B5" s="3">
        <v>1</v>
      </c>
      <c r="C5">
        <f>COUNTIF(B:B,"&lt;"&amp;B5)+COUNTIF($B$2:B5,"="&amp;B5)</f>
        <v>1</v>
      </c>
      <c r="F5" s="4">
        <f t="shared" si="0"/>
        <v>8</v>
      </c>
      <c r="G5" t="str" cm="1">
        <f t="array" ref="G5">INDEX(Таблица1[[#All],[Фамилия]:[Балл]],MATCH(F5,Таблица1[Индекс],0)+1,1)</f>
        <v>Кузнецова Василиса</v>
      </c>
    </row>
    <row r="6" spans="1:7" x14ac:dyDescent="0.35">
      <c r="A6" s="2" t="s">
        <v>6</v>
      </c>
      <c r="B6" s="3">
        <v>8</v>
      </c>
      <c r="C6">
        <f>COUNTIF(B:B,"&lt;"&amp;B6)+COUNTIF($B$2:B6,"="&amp;B6)</f>
        <v>10</v>
      </c>
      <c r="F6" s="4">
        <f t="shared" si="0"/>
        <v>7</v>
      </c>
      <c r="G6" t="str" cm="1">
        <f t="array" ref="G6">INDEX(Таблица1[[#All],[Фамилия]:[Балл]],MATCH(F6,Таблица1[Индекс],0)+1,1)</f>
        <v>Лагунов Макар</v>
      </c>
    </row>
    <row r="7" spans="1:7" x14ac:dyDescent="0.35">
      <c r="A7" s="2" t="s">
        <v>7</v>
      </c>
      <c r="B7" s="3">
        <v>1</v>
      </c>
      <c r="C7">
        <f>COUNTIF(B:B,"&lt;"&amp;B7)+COUNTIF($B$2:B7,"="&amp;B7)</f>
        <v>2</v>
      </c>
      <c r="F7" s="4">
        <f t="shared" si="0"/>
        <v>6</v>
      </c>
      <c r="G7" t="str" cm="1">
        <f t="array" ref="G7">INDEX(Таблица1[[#All],[Фамилия]:[Балл]],MATCH(F7,Таблица1[Индекс],0)+1,1)</f>
        <v>Соболева Эмилия</v>
      </c>
    </row>
    <row r="8" spans="1:7" x14ac:dyDescent="0.35">
      <c r="A8" s="2" t="s">
        <v>8</v>
      </c>
      <c r="B8" s="3">
        <v>4</v>
      </c>
      <c r="C8">
        <f>COUNTIF(B:B,"&lt;"&amp;B8)+COUNTIF($B$2:B8,"="&amp;B8)</f>
        <v>5</v>
      </c>
      <c r="F8" s="4">
        <f t="shared" si="0"/>
        <v>5</v>
      </c>
      <c r="G8" t="str" cm="1">
        <f t="array" ref="G8">INDEX(Таблица1[[#All],[Фамилия]:[Балл]],MATCH(F8,Таблица1[Индекс],0)+1,1)</f>
        <v>Романов Лев</v>
      </c>
    </row>
    <row r="9" spans="1:7" x14ac:dyDescent="0.35">
      <c r="A9" s="2" t="s">
        <v>9</v>
      </c>
      <c r="B9" s="3">
        <v>10</v>
      </c>
      <c r="C9">
        <f>COUNTIF(B:B,"&lt;"&amp;B9)+COUNTIF($B$2:B9,"="&amp;B9)</f>
        <v>11</v>
      </c>
      <c r="F9" s="4">
        <f t="shared" si="0"/>
        <v>4</v>
      </c>
      <c r="G9" t="str" cm="1">
        <f t="array" ref="G9">INDEX(Таблица1[[#All],[Фамилия]:[Балл]],MATCH(F9,Таблица1[Индекс],0)+1,1)</f>
        <v>Булатова Василиса</v>
      </c>
    </row>
    <row r="10" spans="1:7" x14ac:dyDescent="0.35">
      <c r="A10" s="2" t="s">
        <v>10</v>
      </c>
      <c r="B10" s="3">
        <v>4</v>
      </c>
      <c r="C10">
        <f>COUNTIF(B:B,"&lt;"&amp;B10)+COUNTIF($B$2:B10,"="&amp;B10)</f>
        <v>6</v>
      </c>
      <c r="F10" s="4">
        <f t="shared" si="0"/>
        <v>3</v>
      </c>
      <c r="G10" t="str" cm="1">
        <f t="array" ref="G10">INDEX(Таблица1[[#All],[Фамилия]:[Балл]],MATCH(F10,Таблица1[Индекс],0)+1,1)</f>
        <v>Яковлев Егор</v>
      </c>
    </row>
    <row r="11" spans="1:7" x14ac:dyDescent="0.35">
      <c r="A11" s="2" t="s">
        <v>11</v>
      </c>
      <c r="B11" s="3">
        <v>2</v>
      </c>
      <c r="C11">
        <f>COUNTIF(B:B,"&lt;"&amp;B11)+COUNTIF($B$2:B11,"="&amp;B11)</f>
        <v>3</v>
      </c>
      <c r="F11" s="4">
        <f t="shared" si="0"/>
        <v>2</v>
      </c>
      <c r="G11" t="str" cm="1">
        <f t="array" ref="G11">INDEX(Таблица1[[#All],[Фамилия]:[Балл]],MATCH(F11,Таблица1[Индекс],0)+1,1)</f>
        <v>Сахарова София</v>
      </c>
    </row>
    <row r="12" spans="1:7" x14ac:dyDescent="0.35">
      <c r="A12" s="2" t="s">
        <v>12</v>
      </c>
      <c r="B12" s="3">
        <v>5</v>
      </c>
      <c r="C12">
        <f>COUNTIF(B:B,"&lt;"&amp;B12)+COUNTIF($B$2:B12,"="&amp;B12)</f>
        <v>7</v>
      </c>
      <c r="F12" s="4">
        <f t="shared" si="0"/>
        <v>1</v>
      </c>
      <c r="G12" t="str" cm="1">
        <f t="array" ref="G12">INDEX(Таблица1[[#All],[Фамилия]:[Балл]],MATCH(F12,Таблица1[Индекс],0)+1,1)</f>
        <v>Сергеев Матвей</v>
      </c>
    </row>
  </sheetData>
  <conditionalFormatting sqref="B1:B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{B872AE04-2740-43FE-91E6-91B6C907D800}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872AE04-2740-43FE-91E6-91B6C907D8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B1:B1048576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D2323-4C9D-4791-BC4D-CD2BBD404B3E}">
  <sheetPr codeName="Лист2"/>
  <dimension ref="A1:C16"/>
  <sheetViews>
    <sheetView workbookViewId="0">
      <selection activeCell="D12" sqref="D12"/>
    </sheetView>
  </sheetViews>
  <sheetFormatPr defaultRowHeight="14.5" x14ac:dyDescent="0.35"/>
  <cols>
    <col min="2" max="2" width="23" customWidth="1"/>
  </cols>
  <sheetData>
    <row r="1" spans="1:3" ht="17.5" thickBot="1" x14ac:dyDescent="0.4">
      <c r="A1" s="5" t="s">
        <v>14</v>
      </c>
      <c r="B1" s="5" t="s">
        <v>15</v>
      </c>
      <c r="C1" t="s">
        <v>31</v>
      </c>
    </row>
    <row r="2" spans="1:3" ht="15" thickTop="1" x14ac:dyDescent="0.35">
      <c r="A2" s="2" t="s">
        <v>26</v>
      </c>
      <c r="B2" s="6">
        <v>28551</v>
      </c>
      <c r="C2" t="str">
        <f>TEXT(B2, "ММ ДД")</f>
        <v>03 02</v>
      </c>
    </row>
    <row r="3" spans="1:3" x14ac:dyDescent="0.35">
      <c r="A3" s="2" t="s">
        <v>28</v>
      </c>
      <c r="B3" s="6">
        <v>28583</v>
      </c>
      <c r="C3" t="str">
        <f>TEXT(B3, "ММ ДД")</f>
        <v>04 03</v>
      </c>
    </row>
    <row r="4" spans="1:3" x14ac:dyDescent="0.35">
      <c r="A4" s="2" t="s">
        <v>27</v>
      </c>
      <c r="B4" s="6">
        <v>28962</v>
      </c>
      <c r="C4" t="str">
        <f>TEXT(B4, "ММ ДД")</f>
        <v>04 17</v>
      </c>
    </row>
    <row r="5" spans="1:3" x14ac:dyDescent="0.35">
      <c r="A5" s="2" t="s">
        <v>29</v>
      </c>
      <c r="B5" s="6">
        <v>26777</v>
      </c>
      <c r="C5" t="str">
        <f>TEXT(B5, "ММ ДД")</f>
        <v>04 23</v>
      </c>
    </row>
    <row r="6" spans="1:3" x14ac:dyDescent="0.35">
      <c r="A6" s="2" t="s">
        <v>22</v>
      </c>
      <c r="B6" s="6">
        <v>26802</v>
      </c>
      <c r="C6" t="str">
        <f>TEXT(B6, "ММ ДД")</f>
        <v>05 18</v>
      </c>
    </row>
    <row r="7" spans="1:3" x14ac:dyDescent="0.35">
      <c r="A7" s="2" t="s">
        <v>21</v>
      </c>
      <c r="B7" s="6">
        <v>25741</v>
      </c>
      <c r="C7" t="str">
        <f>TEXT(B7, "ММ ДД")</f>
        <v>06 22</v>
      </c>
    </row>
    <row r="8" spans="1:3" x14ac:dyDescent="0.35">
      <c r="A8" s="2" t="s">
        <v>24</v>
      </c>
      <c r="B8" s="6">
        <v>26510</v>
      </c>
      <c r="C8" t="str">
        <f>TEXT(B8, "ММ ДД")</f>
        <v>07 30</v>
      </c>
    </row>
    <row r="9" spans="1:3" x14ac:dyDescent="0.35">
      <c r="A9" s="2" t="s">
        <v>17</v>
      </c>
      <c r="B9" s="6">
        <v>29071</v>
      </c>
      <c r="C9" t="str">
        <f>TEXT(B9, "ММ ДД")</f>
        <v>08 04</v>
      </c>
    </row>
    <row r="10" spans="1:3" x14ac:dyDescent="0.35">
      <c r="A10" s="2" t="s">
        <v>20</v>
      </c>
      <c r="B10" s="6">
        <v>28718</v>
      </c>
      <c r="C10" t="str">
        <f>TEXT(B10, "ММ ДД")</f>
        <v>08 16</v>
      </c>
    </row>
    <row r="11" spans="1:3" x14ac:dyDescent="0.35">
      <c r="A11" s="2" t="s">
        <v>16</v>
      </c>
      <c r="B11" s="6">
        <v>27266</v>
      </c>
      <c r="C11" t="str">
        <f>TEXT(B11, "ММ ДД")</f>
        <v>08 25</v>
      </c>
    </row>
    <row r="12" spans="1:3" x14ac:dyDescent="0.35">
      <c r="A12" s="2" t="s">
        <v>23</v>
      </c>
      <c r="B12" s="6">
        <v>26913</v>
      </c>
      <c r="C12" t="str">
        <f>TEXT(B12, "ММ ДД")</f>
        <v>09 06</v>
      </c>
    </row>
    <row r="13" spans="1:3" x14ac:dyDescent="0.35">
      <c r="A13" s="2" t="s">
        <v>19</v>
      </c>
      <c r="B13" s="6">
        <v>28398</v>
      </c>
      <c r="C13" t="str">
        <f>TEXT(B13, "ММ ДД")</f>
        <v>09 30</v>
      </c>
    </row>
    <row r="14" spans="1:3" x14ac:dyDescent="0.35">
      <c r="A14" s="2" t="s">
        <v>25</v>
      </c>
      <c r="B14" s="6">
        <v>27695</v>
      </c>
      <c r="C14" t="str">
        <f>TEXT(B14, "ММ ДД")</f>
        <v>10 28</v>
      </c>
    </row>
    <row r="15" spans="1:3" x14ac:dyDescent="0.35">
      <c r="A15" s="2" t="s">
        <v>30</v>
      </c>
      <c r="B15" s="6">
        <v>27004</v>
      </c>
      <c r="C15" t="str">
        <f>TEXT(B15, "ММ ДД")</f>
        <v>12 06</v>
      </c>
    </row>
    <row r="16" spans="1:3" x14ac:dyDescent="0.35">
      <c r="A16" s="2" t="s">
        <v>18</v>
      </c>
      <c r="B16" s="6">
        <v>26277</v>
      </c>
      <c r="C16" t="str">
        <f>TEXT(B16, "ММ ДД")</f>
        <v>12 10</v>
      </c>
    </row>
  </sheetData>
  <sortState xmlns:xlrd2="http://schemas.microsoft.com/office/spreadsheetml/2017/richdata2" ref="A2:C16">
    <sortCondition ref="C2:C16"/>
  </sortState>
  <conditionalFormatting sqref="A2:C16">
    <cfRule type="expression" dxfId="1" priority="1">
      <formula>MONTH($B2)&lt;&gt;MONTH($B3)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90D8E-27A2-4D61-9FAE-D7658E79AC4B}">
  <sheetPr codeName="Лист3"/>
  <dimension ref="A1:F12"/>
  <sheetViews>
    <sheetView tabSelected="1" workbookViewId="0">
      <selection activeCell="F12" sqref="F12"/>
    </sheetView>
  </sheetViews>
  <sheetFormatPr defaultRowHeight="14.5" x14ac:dyDescent="0.35"/>
  <sheetData>
    <row r="1" spans="1:6" x14ac:dyDescent="0.35">
      <c r="A1" t="s">
        <v>32</v>
      </c>
      <c r="B1" s="8">
        <f ca="1">LEN(A1)*10000+RANDBETWEEN(100,1000)</f>
        <v>70215</v>
      </c>
    </row>
    <row r="2" spans="1:6" x14ac:dyDescent="0.35">
      <c r="B2" s="7"/>
      <c r="C2" s="8"/>
    </row>
    <row r="3" spans="1:6" x14ac:dyDescent="0.35">
      <c r="C3" s="7"/>
    </row>
    <row r="4" spans="1:6" x14ac:dyDescent="0.35">
      <c r="B4" s="9"/>
      <c r="C4" s="8"/>
      <c r="D4" s="9"/>
    </row>
    <row r="5" spans="1:6" x14ac:dyDescent="0.35">
      <c r="B5" s="9"/>
    </row>
    <row r="12" spans="1:6" x14ac:dyDescent="0.35">
      <c r="F12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Макар Лагунов</dc:creator>
  <cp:lastModifiedBy>Макар Лагунов</cp:lastModifiedBy>
  <dcterms:created xsi:type="dcterms:W3CDTF">2025-03-09T07:17:22Z</dcterms:created>
  <dcterms:modified xsi:type="dcterms:W3CDTF">2025-03-09T08:13:28Z</dcterms:modified>
</cp:coreProperties>
</file>