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RFU_IENiM4_course_7_semester\TerVer\Lab4\"/>
    </mc:Choice>
  </mc:AlternateContent>
  <xr:revisionPtr revIDLastSave="0" documentId="13_ncr:1_{8BF4ECC5-C64B-44C6-B475-EBE2F2F95AF6}" xr6:coauthVersionLast="47" xr6:coauthVersionMax="47" xr10:uidLastSave="{00000000-0000-0000-0000-000000000000}"/>
  <bookViews>
    <workbookView xWindow="-110" yWindow="-110" windowWidth="19420" windowHeight="10420" xr2:uid="{E20A4766-8BFB-4D12-A729-76DF5BF32602}"/>
  </bookViews>
  <sheets>
    <sheet name="Однофак-й дисперсионный анали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N2" i="1"/>
  <c r="L2" i="1"/>
  <c r="L5" i="1"/>
  <c r="G28" i="1"/>
  <c r="G29" i="1"/>
  <c r="G27" i="1"/>
  <c r="F28" i="1"/>
  <c r="F29" i="1"/>
  <c r="F27" i="1"/>
  <c r="D29" i="1"/>
  <c r="D28" i="1"/>
  <c r="D27" i="1"/>
  <c r="C28" i="1"/>
  <c r="C29" i="1"/>
  <c r="C27" i="1"/>
  <c r="B29" i="1"/>
  <c r="B28" i="1"/>
  <c r="B27" i="1"/>
  <c r="E29" i="1"/>
  <c r="E28" i="1"/>
  <c r="E27" i="1"/>
  <c r="N20" i="1"/>
  <c r="O14" i="1"/>
  <c r="O3" i="1" l="1"/>
  <c r="O4" i="1"/>
  <c r="O2" i="1"/>
  <c r="N8" i="1"/>
  <c r="N7" i="1"/>
  <c r="M7" i="1"/>
  <c r="N5" i="1"/>
  <c r="N3" i="1"/>
  <c r="N4" i="1"/>
  <c r="M5" i="1"/>
  <c r="M20" i="1" s="1"/>
  <c r="M3" i="1"/>
  <c r="M4" i="1"/>
  <c r="M2" i="1"/>
  <c r="L3" i="1"/>
  <c r="L4" i="1"/>
  <c r="H2" i="1" a="1"/>
  <c r="H2" i="1" s="1"/>
  <c r="H21" i="1"/>
  <c r="H20" i="1"/>
  <c r="H19" i="1"/>
  <c r="H17" i="1"/>
  <c r="H18" i="1"/>
  <c r="H16" i="1"/>
  <c r="G17" i="1"/>
  <c r="G18" i="1"/>
  <c r="G16" i="1"/>
  <c r="E21" i="1"/>
  <c r="F20" i="1"/>
  <c r="F19" i="1"/>
  <c r="F17" i="1"/>
  <c r="F18" i="1"/>
  <c r="F16" i="1"/>
  <c r="E20" i="1"/>
  <c r="E19" i="1"/>
  <c r="E17" i="1"/>
  <c r="E18" i="1"/>
  <c r="E16" i="1"/>
  <c r="C19" i="1"/>
  <c r="B16" i="1" a="1"/>
  <c r="B16" i="1" s="1"/>
  <c r="C16" i="1" s="1"/>
  <c r="D16" i="1" a="1"/>
  <c r="D16" i="1" s="1"/>
  <c r="C12" i="1"/>
  <c r="B11" i="1"/>
  <c r="C11" i="1"/>
  <c r="A11" i="1"/>
  <c r="B10" i="1"/>
  <c r="C10" i="1"/>
  <c r="A10" i="1"/>
  <c r="B9" i="1"/>
  <c r="C9" i="1"/>
  <c r="A9" i="1"/>
  <c r="B8" i="1"/>
  <c r="C8" i="1"/>
  <c r="A8" i="1"/>
  <c r="M8" i="1" l="1"/>
  <c r="M9" i="1" s="1"/>
  <c r="B18" i="1"/>
  <c r="C18" i="1" s="1"/>
  <c r="B17" i="1"/>
  <c r="C17" i="1" s="1"/>
  <c r="D18" i="1"/>
  <c r="D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<sst xmlns="http://schemas.openxmlformats.org/spreadsheetml/2006/main" count="91" uniqueCount="74">
  <si>
    <t>А1</t>
  </si>
  <si>
    <t>А2</t>
  </si>
  <si>
    <t>А3</t>
  </si>
  <si>
    <t>nj</t>
  </si>
  <si>
    <t>Y.jср</t>
  </si>
  <si>
    <t>D(Yj)</t>
  </si>
  <si>
    <t>(Sj)^2</t>
  </si>
  <si>
    <t>n</t>
  </si>
  <si>
    <t>Критерий Бартлетта</t>
  </si>
  <si>
    <t>Реклама</t>
  </si>
  <si>
    <t>nj-1</t>
  </si>
  <si>
    <t>(nj-1)*(Sj)^2</t>
  </si>
  <si>
    <t>(S0)^2=</t>
  </si>
  <si>
    <t>для q</t>
  </si>
  <si>
    <t>q=</t>
  </si>
  <si>
    <t>ln((S0)^2/(Sj)^2)</t>
  </si>
  <si>
    <t>(nj-1)*ln((S0)^2/(Sj)^2)</t>
  </si>
  <si>
    <t>ХИ2выб=</t>
  </si>
  <si>
    <t>ХИ2кр=</t>
  </si>
  <si>
    <t>ХИ2выб</t>
  </si>
  <si>
    <t>&lt;</t>
  </si>
  <si>
    <t>ХИ2кр</t>
  </si>
  <si>
    <t>Y.jср*nj</t>
  </si>
  <si>
    <t>Yср=</t>
  </si>
  <si>
    <t>(Y.jср-Yср)*nj</t>
  </si>
  <si>
    <t>S^2ф</t>
  </si>
  <si>
    <t>S^2о</t>
  </si>
  <si>
    <t>D(Yj)*nj</t>
  </si>
  <si>
    <t>k</t>
  </si>
  <si>
    <t>S^2/k</t>
  </si>
  <si>
    <t>Fв</t>
  </si>
  <si>
    <t>Fв=</t>
  </si>
  <si>
    <t>Fкр=</t>
  </si>
  <si>
    <t>&gt;</t>
  </si>
  <si>
    <t>Fкр</t>
  </si>
  <si>
    <t>𝜏i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</si>
  <si>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</si>
  <si>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</si>
  <si>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</si>
  <si>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</si>
  <si>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</si>
  <si>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</si>
  <si>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</si>
  <si>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</si>
  <si>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</si>
  <si>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</si>
  <si>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</si>
  <si>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</si>
  <si>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</si>
  <si>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</si>
  <si>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</si>
  <si>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</si>
  <si>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</si>
  <si>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</si>
  <si>
    <t>𝜏1</t>
  </si>
  <si>
    <t>𝜏2</t>
  </si>
  <si>
    <t>𝜏3</t>
  </si>
  <si>
    <t>Место</t>
  </si>
  <si>
    <t>Общее среднее</t>
  </si>
  <si>
    <t>R^2выб</t>
  </si>
  <si>
    <t>σe</t>
  </si>
  <si>
    <t>72% вариации объясняются регионом с соответсвующей рекламной кампанией</t>
  </si>
  <si>
    <t>Гипотезы H0</t>
  </si>
  <si>
    <t>Y.1ср = Y.2ср</t>
  </si>
  <si>
    <t>Y.1ср = Y.3ср</t>
  </si>
  <si>
    <t>Y.2ср = Y.3ср</t>
  </si>
  <si>
    <t>(S^2)ij</t>
  </si>
  <si>
    <t>SQRT</t>
  </si>
  <si>
    <t>tв</t>
  </si>
  <si>
    <t>tкр</t>
  </si>
  <si>
    <t>Вердикт</t>
  </si>
  <si>
    <t>Значит, дисперсии всех групп равны =&gt; нет противоречий с предпосылками факторного анализа</t>
  </si>
  <si>
    <t>Интерпретация: все виды рекламы дают различный эффект</t>
  </si>
  <si>
    <t>Значит, фактор влияет на отклик. Т.e., продажи зависят от регионов (в каждом из которых рекламная кампания проходила по-разному). Также из параметра 𝜏i можно сделать вывод, что рекламная кампания в рекгионе А1 (где реклама была по центральным каналам) была самой эффективной, а в регионе А3 рекламная кампания (в Интернете) показала результаты ниже среднего.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</si>
</sst>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3" fillId="0" borderId="6" xfId="0" applyFont="1" applyFill="1" applyBorder="1" applyAlignment="1">
      <alignment horizontal="center"/>
    </xf>
    <xf numFmtId="9" fontId="0" fillId="16" borderId="0" xfId="1" applyFont="1" applyFill="1"/>
    <xf numFmtId="0" fontId="0" fillId="16" borderId="0" xfId="0" applyFill="1"/>
    <xf numFmtId="0" fontId="0" fillId="15" borderId="0" xfId="0" applyFill="1" applyBorder="1" applyAlignment="1"/>
    <xf numFmtId="0" fontId="0" fillId="13" borderId="0" xfId="0" applyFill="1" applyBorder="1" applyAlignment="1"/>
    <xf numFmtId="0" fontId="0" fillId="12" borderId="0" xfId="0" applyFill="1" applyBorder="1" applyAlignment="1"/>
    <xf numFmtId="0" fontId="0" fillId="5" borderId="0" xfId="0" applyFill="1" applyBorder="1" applyAlignment="1"/>
    <xf numFmtId="0" fontId="0" fillId="14" borderId="0" xfId="0" applyFill="1" applyBorder="1" applyAlignment="1"/>
    <xf numFmtId="0" fontId="3" fillId="3" borderId="6" xfId="0" applyFont="1" applyFill="1" applyBorder="1" applyAlignment="1">
      <alignment horizontal="center"/>
    </xf>
    <xf numFmtId="0" fontId="0" fillId="3" borderId="0" xfId="0" applyFill="1" applyBorder="1" applyAlignment="1"/>
    <xf numFmtId="0" fontId="0" fillId="3" borderId="5" xfId="0" applyFill="1" applyBorder="1" applyAlignment="1"/>
    <xf numFmtId="0" fontId="3" fillId="5" borderId="6" xfId="0" applyFont="1" applyFill="1" applyBorder="1" applyAlignment="1">
      <alignment horizontal="center"/>
    </xf>
    <xf numFmtId="0" fontId="0" fillId="5" borderId="5" xfId="0" applyFill="1" applyBorder="1" applyAlignment="1"/>
    <xf numFmtId="0" fontId="3" fillId="4" borderId="6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4" borderId="5" xfId="0" applyFill="1" applyBorder="1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234950</xdr:colOff>
      <xdr:row>4</xdr:row>
      <xdr:rowOff>120650</xdr:rowOff>
    </xdr:from>
    <xdr:to>
      <xdr:col>9</xdr:col>
      <xdr:colOff>492701</xdr:colOff>
      <xdr:row>13</xdr:row>
      <xdr:rowOff>16100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5ABFD8A-81F7-8622-A77C-C4E70342B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6450" y="933450"/>
          <a:ext cx="4124901" cy="160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D6CF-D781-49BC-8DD3-F0AF8F9B0529}">
  <dimension ref="A1:AD46"/>
  <sheetViews>
    <sheetView tabSelected="1" workbookViewId="0">
      <selection activeCell="K9" sqref="K9"/>
    </sheetView>
  </sheetViews>
  <sheetFormatPr defaultRowHeight="14.5" x14ac:dyDescent="0.35"/>
  <cols>
    <col min="1" max="1" width="12.81640625" customWidth="1"/>
    <col min="2" max="2" width="10.7265625" bestFit="1" customWidth="1"/>
    <col min="4" max="4" width="12.26953125" bestFit="1" customWidth="1"/>
    <col min="6" max="6" width="12.26953125" bestFit="1" customWidth="1"/>
    <col min="7" max="7" width="16.90625" customWidth="1"/>
  </cols>
  <sheetData>
    <row r="1" spans="1:30" ht="16" thickBot="1" x14ac:dyDescent="0.4">
      <c r="A1" s="1" t="s">
        <v>0</v>
      </c>
      <c r="B1" s="2" t="s">
        <v>1</v>
      </c>
      <c r="C1" s="2" t="s">
        <v>2</v>
      </c>
      <c r="G1" t="s">
        <v>9</v>
      </c>
      <c r="H1" t="s">
        <v>3</v>
      </c>
      <c r="I1" t="s">
        <v>4</v>
      </c>
      <c r="J1" t="s">
        <v>5</v>
      </c>
      <c r="K1" t="s">
        <v>6</v>
      </c>
      <c r="L1" t="s">
        <v>22</v>
      </c>
      <c r="M1" t="s">
        <v>24</v>
      </c>
      <c r="N1" t="s">
        <v>27</v>
      </c>
      <c r="O1" t="s">
        <v>35</v>
      </c>
    </row>
    <row r="2" spans="1:30" ht="16" thickBot="1" x14ac:dyDescent="0.4">
      <c r="A2" s="3">
        <v>65</v>
      </c>
      <c r="B2" s="4">
        <v>62</v>
      </c>
      <c r="C2" s="4">
        <v>55</v>
      </c>
      <c r="G2" s="10" t="s">
        <v>0</v>
      </c>
      <c r="H2" s="10" cm="1">
        <f t="array" ref="H2:K4">TRANSPOSE(A8:C11)</f>
        <v>4</v>
      </c>
      <c r="I2">
        <v>63.25</v>
      </c>
      <c r="J2">
        <v>4.1875</v>
      </c>
      <c r="K2">
        <v>5.583333333333333</v>
      </c>
      <c r="L2">
        <f>I2*H2</f>
        <v>253</v>
      </c>
      <c r="M2">
        <f>(I2-$L$5)^2*H2</f>
        <v>81.601111111111081</v>
      </c>
      <c r="N2">
        <f>J2*H2</f>
        <v>16.75</v>
      </c>
      <c r="O2">
        <f>I2-$L$5</f>
        <v>4.5166666666666657</v>
      </c>
    </row>
    <row r="3" spans="1:30" ht="16" thickBot="1" x14ac:dyDescent="0.4">
      <c r="A3" s="3">
        <v>60</v>
      </c>
      <c r="B3" s="4">
        <v>63</v>
      </c>
      <c r="C3" s="4">
        <v>54</v>
      </c>
      <c r="G3" s="10" t="s">
        <v>1</v>
      </c>
      <c r="H3" s="10">
        <v>6</v>
      </c>
      <c r="I3">
        <v>59.5</v>
      </c>
      <c r="J3">
        <v>5.916666666666667</v>
      </c>
      <c r="K3">
        <v>7.1</v>
      </c>
      <c r="L3">
        <f t="shared" ref="L3:L4" si="0">I3*H3</f>
        <v>357</v>
      </c>
      <c r="M3">
        <f t="shared" ref="M3:M4" si="1">(I3-$L$5)^2*H3</f>
        <v>3.5266666666666575</v>
      </c>
      <c r="N3">
        <f t="shared" ref="N3:N4" si="2">J3*H3</f>
        <v>35.5</v>
      </c>
      <c r="O3">
        <f t="shared" ref="O3:O4" si="3">I3-$L$5</f>
        <v>0.76666666666666572</v>
      </c>
    </row>
    <row r="4" spans="1:30" ht="16" thickBot="1" x14ac:dyDescent="0.4">
      <c r="A4" s="3">
        <v>65</v>
      </c>
      <c r="B4" s="4">
        <v>60</v>
      </c>
      <c r="C4" s="4">
        <v>53</v>
      </c>
      <c r="G4" s="10" t="s">
        <v>2</v>
      </c>
      <c r="H4" s="10">
        <v>5</v>
      </c>
      <c r="I4">
        <v>54.2</v>
      </c>
      <c r="J4">
        <v>0.55999999999999994</v>
      </c>
      <c r="K4">
        <v>0.7</v>
      </c>
      <c r="L4">
        <f t="shared" si="0"/>
        <v>271</v>
      </c>
      <c r="M4">
        <f t="shared" si="1"/>
        <v>102.75555555555547</v>
      </c>
      <c r="N4">
        <f t="shared" si="2"/>
        <v>2.8</v>
      </c>
      <c r="O4">
        <f t="shared" si="3"/>
        <v>-4.5333333333333314</v>
      </c>
    </row>
    <row r="5" spans="1:30" ht="16" thickBot="1" x14ac:dyDescent="0.4">
      <c r="A5" s="3">
        <v>63</v>
      </c>
      <c r="B5" s="4">
        <v>58</v>
      </c>
      <c r="C5" s="4">
        <v>54</v>
      </c>
      <c r="K5" s="15" t="s">
        <v>23</v>
      </c>
      <c r="L5" s="15">
        <f>SUM(L2:L4)/C12</f>
        <v>58.733333333333334</v>
      </c>
      <c r="M5" s="17">
        <f>SUM(M2:M4)</f>
        <v>187.88333333333321</v>
      </c>
      <c r="N5" s="16">
        <f>SUM(N2:N4)</f>
        <v>55.05</v>
      </c>
    </row>
    <row r="6" spans="1:30" ht="16" thickBot="1" x14ac:dyDescent="0.4">
      <c r="A6" s="3"/>
      <c r="B6" s="4">
        <v>58</v>
      </c>
      <c r="C6" s="4">
        <v>55</v>
      </c>
      <c r="M6" s="17" t="s">
        <v>25</v>
      </c>
      <c r="N6" s="16" t="s">
        <v>26</v>
      </c>
    </row>
    <row r="7" spans="1:30" ht="16" thickBot="1" x14ac:dyDescent="0.4">
      <c r="A7" s="3"/>
      <c r="B7" s="4">
        <v>56</v>
      </c>
      <c r="C7" s="4"/>
      <c r="L7" s="7" t="s">
        <v>28</v>
      </c>
      <c r="M7" s="7">
        <f>3-1</f>
        <v>2</v>
      </c>
      <c r="N7" s="7">
        <f>C12-3</f>
        <v>12</v>
      </c>
    </row>
    <row r="8" spans="1:30" x14ac:dyDescent="0.35">
      <c r="A8" s="7">
        <f>COUNT(A2:A7)</f>
        <v>4</v>
      </c>
      <c r="B8" s="7">
        <f t="shared" ref="B8:C8" si="4">COUNT(B2:B7)</f>
        <v>6</v>
      </c>
      <c r="C8" s="7">
        <f t="shared" si="4"/>
        <v>5</v>
      </c>
      <c r="D8" s="7" t="s">
        <v>3</v>
      </c>
      <c r="L8" s="8" t="s">
        <v>29</v>
      </c>
      <c r="M8" s="8">
        <f>M5/M7</f>
        <v>93.941666666666606</v>
      </c>
      <c r="N8" s="8">
        <f>N5/N7</f>
        <v>4.5874999999999995</v>
      </c>
    </row>
    <row r="9" spans="1:30" x14ac:dyDescent="0.35">
      <c r="A9" s="8">
        <f>AVERAGE(A2:A7)</f>
        <v>63.25</v>
      </c>
      <c r="B9" s="8">
        <f t="shared" ref="B9:C9" si="5">AVERAGE(B2:B7)</f>
        <v>59.5</v>
      </c>
      <c r="C9" s="8">
        <f t="shared" si="5"/>
        <v>54.2</v>
      </c>
      <c r="D9" s="8" t="s">
        <v>4</v>
      </c>
      <c r="L9" s="18" t="s">
        <v>31</v>
      </c>
      <c r="M9" s="18">
        <f>M8/N8</f>
        <v>20.477747502270653</v>
      </c>
    </row>
    <row r="10" spans="1:30" x14ac:dyDescent="0.35">
      <c r="A10" s="6">
        <f>VARP(A2:A7)</f>
        <v>4.1875</v>
      </c>
      <c r="B10" s="6">
        <f t="shared" ref="B10:C10" si="6">VARP(B2:B7)</f>
        <v>5.916666666666667</v>
      </c>
      <c r="C10" s="6">
        <f t="shared" si="6"/>
        <v>0.55999999999999994</v>
      </c>
      <c r="D10" s="6" t="s">
        <v>5</v>
      </c>
      <c r="L10" s="19" t="s">
        <v>32</v>
      </c>
      <c r="M10" s="19">
        <f>FINV(0.05,M7,N7)</f>
        <v>3.8852938346523942</v>
      </c>
      <c r="O10" s="18" t="s">
        <v>30</v>
      </c>
      <c r="P10" t="s">
        <v>33</v>
      </c>
      <c r="Q10" s="19" t="s">
        <v>34</v>
      </c>
    </row>
    <row r="11" spans="1:30" ht="14.5" customHeight="1" x14ac:dyDescent="0.35">
      <c r="A11" s="9">
        <f>VAR(A2:A7)</f>
        <v>5.583333333333333</v>
      </c>
      <c r="B11" s="9">
        <f t="shared" ref="B11:C11" si="7">VAR(B2:B7)</f>
        <v>7.1</v>
      </c>
      <c r="C11" s="9">
        <f t="shared" si="7"/>
        <v>0.7</v>
      </c>
      <c r="D11" s="9" t="s">
        <v>6</v>
      </c>
      <c r="P11" s="39" t="s">
        <v>73</v>
      </c>
      <c r="Q11" s="39"/>
      <c r="R11" s="39"/>
      <c r="S11" s="39"/>
      <c r="T11" s="39"/>
      <c r="U11" s="39"/>
      <c r="V11" s="39"/>
      <c r="W11" s="39"/>
      <c r="X11" s="39"/>
      <c r="Y11" s="39"/>
    </row>
    <row r="12" spans="1:30" x14ac:dyDescent="0.35">
      <c r="C12" s="5">
        <f>COUNT(A2:C7)</f>
        <v>15</v>
      </c>
      <c r="D12" s="5" t="s">
        <v>7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AD12" s="20"/>
    </row>
    <row r="13" spans="1:30" x14ac:dyDescent="0.35"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30" x14ac:dyDescent="0.35">
      <c r="A14" t="s">
        <v>8</v>
      </c>
      <c r="M14" s="12" t="s">
        <v>58</v>
      </c>
      <c r="N14" s="12"/>
      <c r="O14" s="12">
        <f>L5</f>
        <v>58.733333333333334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 spans="1:30" x14ac:dyDescent="0.35">
      <c r="A15" t="s">
        <v>9</v>
      </c>
      <c r="B15" t="s">
        <v>3</v>
      </c>
      <c r="C15" t="s">
        <v>10</v>
      </c>
      <c r="D15" t="s">
        <v>6</v>
      </c>
      <c r="E15" t="s">
        <v>11</v>
      </c>
      <c r="F15" t="s">
        <v>13</v>
      </c>
      <c r="G15" t="s">
        <v>15</v>
      </c>
      <c r="H15" t="s">
        <v>16</v>
      </c>
      <c r="O15" t="s">
        <v>57</v>
      </c>
    </row>
    <row r="16" spans="1:30" ht="15.5" x14ac:dyDescent="0.35">
      <c r="A16" s="10" t="s">
        <v>0</v>
      </c>
      <c r="B16" s="10">
        <f t="array" ref="B16:B18">TRANSPOSE(A8:C8)</f>
        <v>4</v>
      </c>
      <c r="C16" s="10">
        <f>B16-1</f>
        <v>3</v>
      </c>
      <c r="D16" s="10">
        <f t="array" ref="D16:D18">TRANSPOSE(A11:C11)</f>
        <v>5.583333333333333</v>
      </c>
      <c r="E16" s="10">
        <f>D16*C16</f>
        <v>16.75</v>
      </c>
      <c r="F16" s="10">
        <f>1/C16</f>
        <v>0.33333333333333331</v>
      </c>
      <c r="G16">
        <f>LN($E$20/D16)</f>
        <v>-0.19645075622227715</v>
      </c>
      <c r="H16">
        <f>G16*C16</f>
        <v>-0.58935226866683144</v>
      </c>
      <c r="M16" t="s">
        <v>54</v>
      </c>
      <c r="N16">
        <v>4.5166666666666657</v>
      </c>
      <c r="O16">
        <v>1</v>
      </c>
    </row>
    <row r="17" spans="1:20" ht="15.5" x14ac:dyDescent="0.35">
      <c r="A17" s="10" t="s">
        <v>1</v>
      </c>
      <c r="B17" s="10">
        <v>6</v>
      </c>
      <c r="C17" s="10">
        <f t="shared" ref="C17:C18" si="8">B17-1</f>
        <v>5</v>
      </c>
      <c r="D17" s="10">
        <v>7.1</v>
      </c>
      <c r="E17" s="10">
        <f t="shared" ref="E17:E18" si="9">D17*C17</f>
        <v>35.5</v>
      </c>
      <c r="F17" s="10">
        <f t="shared" ref="F17:F18" si="10">1/C17</f>
        <v>0.2</v>
      </c>
      <c r="G17">
        <f t="shared" ref="G17:G18" si="11">LN($E$20/D17)</f>
        <v>-0.43675957066658111</v>
      </c>
      <c r="H17">
        <f t="shared" ref="H17:H18" si="12">G17*C17</f>
        <v>-2.1837978533329054</v>
      </c>
      <c r="M17" t="s">
        <v>55</v>
      </c>
      <c r="N17">
        <v>0.76666666666666572</v>
      </c>
      <c r="O17">
        <v>2</v>
      </c>
    </row>
    <row r="18" spans="1:20" ht="15.5" x14ac:dyDescent="0.35">
      <c r="A18" s="10" t="s">
        <v>2</v>
      </c>
      <c r="B18" s="10">
        <v>5</v>
      </c>
      <c r="C18" s="10">
        <f t="shared" si="8"/>
        <v>4</v>
      </c>
      <c r="D18" s="10">
        <v>0.7</v>
      </c>
      <c r="E18" s="10">
        <f t="shared" si="9"/>
        <v>2.8</v>
      </c>
      <c r="F18" s="10">
        <f t="shared" si="10"/>
        <v>0.25</v>
      </c>
      <c r="G18">
        <f t="shared" si="11"/>
        <v>1.880010157319421</v>
      </c>
      <c r="H18">
        <f t="shared" si="12"/>
        <v>7.520040629277684</v>
      </c>
      <c r="M18" t="s">
        <v>56</v>
      </c>
      <c r="N18">
        <v>-4.5333333333333314</v>
      </c>
      <c r="O18">
        <v>3</v>
      </c>
    </row>
    <row r="19" spans="1:20" x14ac:dyDescent="0.35">
      <c r="C19">
        <f>SUM(C16:C18)</f>
        <v>12</v>
      </c>
      <c r="E19">
        <f>SUM(E16:E18)</f>
        <v>55.05</v>
      </c>
      <c r="F19">
        <f>SUM(F16:F18)-1/C19</f>
        <v>0.7</v>
      </c>
      <c r="H19">
        <f>SUM(H16:H18)</f>
        <v>4.7468905072779473</v>
      </c>
    </row>
    <row r="20" spans="1:20" x14ac:dyDescent="0.35">
      <c r="D20" s="11" t="s">
        <v>12</v>
      </c>
      <c r="E20" s="11">
        <f>E19/C19</f>
        <v>4.5874999999999995</v>
      </c>
      <c r="F20">
        <f>1+1/(3*(3-1))*F19</f>
        <v>1.1166666666666667</v>
      </c>
      <c r="G20" s="13" t="s">
        <v>17</v>
      </c>
      <c r="H20" s="13">
        <f>E21*H19</f>
        <v>4.2509467229354749</v>
      </c>
      <c r="M20" s="24">
        <f>M5/(M5+N5)</f>
        <v>0.7733946212952798</v>
      </c>
      <c r="N20" s="14">
        <f>SQRT(N8)</f>
        <v>2.1418449990603894</v>
      </c>
    </row>
    <row r="21" spans="1:20" x14ac:dyDescent="0.35">
      <c r="D21" s="12" t="s">
        <v>14</v>
      </c>
      <c r="E21" s="12">
        <f>1/F20</f>
        <v>0.89552238805970152</v>
      </c>
      <c r="G21" s="14" t="s">
        <v>18</v>
      </c>
      <c r="H21" s="14">
        <f>_xlfn.CHISQ.INV.RT(0.05,2)</f>
        <v>5.9914645471079817</v>
      </c>
      <c r="M21" s="25" t="s">
        <v>59</v>
      </c>
      <c r="N21" s="14" t="s">
        <v>60</v>
      </c>
    </row>
    <row r="22" spans="1:20" x14ac:dyDescent="0.35">
      <c r="M22" s="40" t="s">
        <v>61</v>
      </c>
      <c r="N22" s="40"/>
      <c r="O22" s="40"/>
      <c r="P22" s="40"/>
      <c r="Q22" s="40"/>
      <c r="R22" s="40"/>
      <c r="S22" s="40"/>
      <c r="T22" s="40"/>
    </row>
    <row r="23" spans="1:20" x14ac:dyDescent="0.35">
      <c r="G23" s="13" t="s">
        <v>19</v>
      </c>
      <c r="H23" t="s">
        <v>20</v>
      </c>
      <c r="I23" s="14" t="s">
        <v>21</v>
      </c>
    </row>
    <row r="24" spans="1:20" x14ac:dyDescent="0.35">
      <c r="H24" t="s">
        <v>71</v>
      </c>
    </row>
    <row r="26" spans="1:20" x14ac:dyDescent="0.35">
      <c r="A26" t="s">
        <v>62</v>
      </c>
      <c r="B26" t="s">
        <v>66</v>
      </c>
      <c r="C26" t="s">
        <v>67</v>
      </c>
      <c r="D26" t="s">
        <v>68</v>
      </c>
      <c r="E26" t="s">
        <v>28</v>
      </c>
      <c r="F26" t="s">
        <v>69</v>
      </c>
      <c r="G26" t="s">
        <v>70</v>
      </c>
      <c r="H26" s="39" t="s">
        <v>72</v>
      </c>
      <c r="I26" s="39"/>
    </row>
    <row r="27" spans="1:20" x14ac:dyDescent="0.35">
      <c r="A27" t="s">
        <v>63</v>
      </c>
      <c r="B27">
        <f>((A8-1)*A11)/E27+((B8-1)*B11)/E27</f>
        <v>6.53125</v>
      </c>
      <c r="C27">
        <f>SQRT(B27)</f>
        <v>2.555631037532609</v>
      </c>
      <c r="D27">
        <f>(A9-B9)/(C27*SQRT(1/A8+1/B8))</f>
        <v>2.2732056912722474</v>
      </c>
      <c r="E27">
        <f>(A8+B8-2)</f>
        <v>8</v>
      </c>
      <c r="F27">
        <f>_xlfn.T.INV(1-0.05,E27)</f>
        <v>1.8595480375308975</v>
      </c>
      <c r="G27" t="str">
        <f>IF(ABS(D27) &gt; F27, "средние не равны", "средние равны")</f>
        <v>средние не равны</v>
      </c>
      <c r="H27" s="39"/>
      <c r="I27" s="39"/>
    </row>
    <row r="28" spans="1:20" x14ac:dyDescent="0.35">
      <c r="A28" t="s">
        <v>64</v>
      </c>
      <c r="B28">
        <f>((A8-1)*A11)/E28+((C8-1)*C11)/E28</f>
        <v>2.7928571428571427</v>
      </c>
      <c r="C28">
        <f t="shared" ref="C28:C29" si="13">SQRT(B28)</f>
        <v>1.6711843533426056</v>
      </c>
      <c r="D28">
        <f>(A9-C9)/(C28*SQRT(1/A8+1/C8))</f>
        <v>8.0726841639373461</v>
      </c>
      <c r="E28">
        <f>(A8+C8-2)</f>
        <v>7</v>
      </c>
      <c r="F28">
        <f t="shared" ref="F28:F29" si="14">_xlfn.T.INV(1-0.05,E28)</f>
        <v>1.8945786050900069</v>
      </c>
      <c r="G28" t="str">
        <f t="shared" ref="G28:G29" si="15">IF(ABS(D28) &gt; F28, "средние не равны", "средние равны")</f>
        <v>средние не равны</v>
      </c>
      <c r="H28" s="39"/>
      <c r="I28" s="39"/>
    </row>
    <row r="29" spans="1:20" x14ac:dyDescent="0.35">
      <c r="A29" t="s">
        <v>65</v>
      </c>
      <c r="B29">
        <f>((B8-1)*B11)/E29+((C8-1)*C11)/E29</f>
        <v>4.2555555555555555</v>
      </c>
      <c r="C29">
        <f t="shared" si="13"/>
        <v>2.0628997929021069</v>
      </c>
      <c r="D29">
        <f>(B9-C9)/(C29*SQRT(1/B8+1/C8))</f>
        <v>4.2428924385324764</v>
      </c>
      <c r="E29">
        <f>(B8+C8-2)</f>
        <v>9</v>
      </c>
      <c r="F29">
        <f t="shared" si="14"/>
        <v>1.8331129326562368</v>
      </c>
      <c r="G29" t="str">
        <f t="shared" si="15"/>
        <v>средние не равны</v>
      </c>
      <c r="H29" s="39"/>
      <c r="I29" s="39"/>
    </row>
    <row r="32" spans="1:20" x14ac:dyDescent="0.35">
      <c r="A32" t="s">
        <v>36</v>
      </c>
    </row>
    <row r="34" spans="1:7" ht="15" thickBot="1" x14ac:dyDescent="0.4">
      <c r="A34" t="s">
        <v>37</v>
      </c>
    </row>
    <row r="35" spans="1:7" x14ac:dyDescent="0.35">
      <c r="A35" s="23" t="s">
        <v>38</v>
      </c>
      <c r="B35" s="36" t="s">
        <v>39</v>
      </c>
      <c r="C35" s="23" t="s">
        <v>40</v>
      </c>
      <c r="D35" s="34" t="s">
        <v>41</v>
      </c>
      <c r="E35" s="31" t="s">
        <v>42</v>
      </c>
    </row>
    <row r="36" spans="1:7" x14ac:dyDescent="0.35">
      <c r="A36" s="21" t="s">
        <v>0</v>
      </c>
      <c r="B36" s="37">
        <v>4</v>
      </c>
      <c r="C36" s="21">
        <v>253</v>
      </c>
      <c r="D36" s="29">
        <v>63.25</v>
      </c>
      <c r="E36" s="32">
        <v>5.583333333333333</v>
      </c>
    </row>
    <row r="37" spans="1:7" x14ac:dyDescent="0.35">
      <c r="A37" s="21" t="s">
        <v>1</v>
      </c>
      <c r="B37" s="37">
        <v>6</v>
      </c>
      <c r="C37" s="21">
        <v>357</v>
      </c>
      <c r="D37" s="29">
        <v>59.5</v>
      </c>
      <c r="E37" s="32">
        <v>7.1</v>
      </c>
    </row>
    <row r="38" spans="1:7" ht="15" thickBot="1" x14ac:dyDescent="0.4">
      <c r="A38" s="22" t="s">
        <v>2</v>
      </c>
      <c r="B38" s="38">
        <v>5</v>
      </c>
      <c r="C38" s="22">
        <v>271</v>
      </c>
      <c r="D38" s="35">
        <v>54.2</v>
      </c>
      <c r="E38" s="33">
        <v>0.7</v>
      </c>
    </row>
    <row r="41" spans="1:7" ht="15" thickBot="1" x14ac:dyDescent="0.4">
      <c r="A41" t="s">
        <v>43</v>
      </c>
    </row>
    <row r="42" spans="1:7" x14ac:dyDescent="0.35">
      <c r="A42" s="23" t="s">
        <v>44</v>
      </c>
      <c r="B42" s="23" t="s">
        <v>45</v>
      </c>
      <c r="C42" s="23" t="s">
        <v>46</v>
      </c>
      <c r="D42" s="23" t="s">
        <v>47</v>
      </c>
      <c r="E42" s="23" t="s">
        <v>48</v>
      </c>
      <c r="F42" s="23" t="s">
        <v>49</v>
      </c>
      <c r="G42" s="23" t="s">
        <v>50</v>
      </c>
    </row>
    <row r="43" spans="1:7" x14ac:dyDescent="0.35">
      <c r="A43" s="21" t="s">
        <v>51</v>
      </c>
      <c r="B43" s="27">
        <v>187.88333333333338</v>
      </c>
      <c r="C43" s="21">
        <v>2</v>
      </c>
      <c r="D43" s="29">
        <v>93.941666666666691</v>
      </c>
      <c r="E43" s="30">
        <v>20.47774750227067</v>
      </c>
      <c r="F43" s="21">
        <v>1.3540081684797057E-4</v>
      </c>
      <c r="G43" s="26">
        <v>3.8852938346523942</v>
      </c>
    </row>
    <row r="44" spans="1:7" x14ac:dyDescent="0.35">
      <c r="A44" s="21" t="s">
        <v>52</v>
      </c>
      <c r="B44" s="28">
        <v>55.05</v>
      </c>
      <c r="C44" s="21">
        <v>12</v>
      </c>
      <c r="D44" s="29">
        <v>4.5874999999999995</v>
      </c>
      <c r="E44" s="21"/>
      <c r="F44" s="21"/>
      <c r="G44" s="21"/>
    </row>
    <row r="45" spans="1:7" x14ac:dyDescent="0.35">
      <c r="A45" s="21"/>
      <c r="B45" s="21"/>
      <c r="C45" s="21"/>
      <c r="D45" s="21"/>
      <c r="E45" s="21"/>
      <c r="F45" s="21"/>
      <c r="G45" s="21"/>
    </row>
    <row r="46" spans="1:7" ht="15" thickBot="1" x14ac:dyDescent="0.4">
      <c r="A46" s="22" t="s">
        <v>53</v>
      </c>
      <c r="B46" s="22">
        <v>242.93333333333339</v>
      </c>
      <c r="C46" s="22">
        <v>14</v>
      </c>
      <c r="D46" s="22"/>
      <c r="E46" s="22"/>
      <c r="F46" s="22"/>
      <c r="G46" s="22"/>
    </row>
  </sheetData>
  <mergeCells count="3">
    <mergeCell ref="P11:Y14"/>
    <mergeCell ref="M22:T22"/>
    <mergeCell ref="H26:I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Однофак-й дисперсионный анализ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Макар Лагунов</dc:creator>
  <cp:lastModifiedBy>Макар Лагунов</cp:lastModifiedBy>
  <dcterms:created xsi:type="dcterms:W3CDTF">2025-10-18T19:42:17Z</dcterms:created>
  <dcterms:modified xsi:type="dcterms:W3CDTF">2025-11-02T15:03:04Z</dcterms:modified>
</cp:coreProperties>
</file>